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ma Estate Leads" state="visible" r:id="rId4"/>
    <sheet sheetId="2" name="Dashboard" state="visible" r:id="rId5"/>
    <sheet sheetId="3" name="Catalogs" state="visible" r:id="rId6"/>
    <sheet sheetId="4" name="README" state="visible" r:id="rId7"/>
  </sheets>
  <calcPr calcId="171027"/>
</workbook>
</file>

<file path=xl/sharedStrings.xml><?xml version="1.0" encoding="utf-8"?>
<sst xmlns="http://schemas.openxmlformats.org/spreadsheetml/2006/main" count="151" uniqueCount="100">
  <si>
    <t>created_at</t>
  </si>
  <si>
    <t>lead_id</t>
  </si>
  <si>
    <t>nombre</t>
  </si>
  <si>
    <t>empresa</t>
  </si>
  <si>
    <t>cargo</t>
  </si>
  <si>
    <t>whatsapp</t>
  </si>
  <si>
    <t>email</t>
  </si>
  <si>
    <t>tipo_operacion</t>
  </si>
  <si>
    <t>cantidad_propiedades</t>
  </si>
  <si>
    <t>canales_captacion</t>
  </si>
  <si>
    <t>usa_crm</t>
  </si>
  <si>
    <t>invierte_publicidad</t>
  </si>
  <si>
    <t>fuga_comercial</t>
  </si>
  <si>
    <t>rango_inversion</t>
  </si>
  <si>
    <t>mensaje</t>
  </si>
  <si>
    <t>source_page</t>
  </si>
  <si>
    <t>user_agent</t>
  </si>
  <si>
    <t>lead_score</t>
  </si>
  <si>
    <t>estado</t>
  </si>
  <si>
    <t>proximo_paso</t>
  </si>
  <si>
    <t>fecha_proximo_contacto</t>
  </si>
  <si>
    <t>responsable</t>
  </si>
  <si>
    <t>notas</t>
  </si>
  <si>
    <t>2026-04-28T17:42:11.393Z</t>
  </si>
  <si>
    <t>L-001</t>
  </si>
  <si>
    <t>Juan Pérez (Ejemplo)</t>
  </si>
  <si>
    <t>Inmobiliaria Élite</t>
  </si>
  <si>
    <t>Director Comercial</t>
  </si>
  <si>
    <t>+18095550000</t>
  </si>
  <si>
    <t>juan.perez@ejemplo.com</t>
  </si>
  <si>
    <t>Inmobiliaria Boutique</t>
  </si>
  <si>
    <t>21 - 50 propiedades</t>
  </si>
  <si>
    <t>Google Ads, Meta</t>
  </si>
  <si>
    <t>No, usamos Excel</t>
  </si>
  <si>
    <t>Sí, constantemente</t>
  </si>
  <si>
    <t>Los leads no contestan rápido</t>
  </si>
  <si>
    <t>US$3,000 - US$6,500</t>
  </si>
  <si>
    <t>Nuevo</t>
  </si>
  <si>
    <t>2026-04-27T17:42:11.393Z</t>
  </si>
  <si>
    <t>L-002</t>
  </si>
  <si>
    <t>María López (Ejemplo)</t>
  </si>
  <si>
    <t>Desarrollos PC</t>
  </si>
  <si>
    <t>Owner</t>
  </si>
  <si>
    <t>+18095550001</t>
  </si>
  <si>
    <t>maria.lopez@ejemplo.com</t>
  </si>
  <si>
    <t>Desarrollador de Proyectos</t>
  </si>
  <si>
    <t>1 - 5 proyectos exclusivos</t>
  </si>
  <si>
    <t>Referidos, Instagram</t>
  </si>
  <si>
    <t>Sí, pero sin integrar</t>
  </si>
  <si>
    <t>Sí, de forma esporádica</t>
  </si>
  <si>
    <t>Falta de atribución de campañas</t>
  </si>
  <si>
    <t>US$6,500 - US$12,000</t>
  </si>
  <si>
    <t>Contactado</t>
  </si>
  <si>
    <t>2026-04-26T17:42:11.393Z</t>
  </si>
  <si>
    <t>L-003</t>
  </si>
  <si>
    <t>Carlos Ruiz (Ejemplo)</t>
  </si>
  <si>
    <t>Brokerage Int</t>
  </si>
  <si>
    <t>Top Producer</t>
  </si>
  <si>
    <t>+18095550002</t>
  </si>
  <si>
    <t>carlos.ruiz@ejemplo.com</t>
  </si>
  <si>
    <t>Agente Top Producer</t>
  </si>
  <si>
    <t>6 - 20 propiedades</t>
  </si>
  <si>
    <t>Orgánico</t>
  </si>
  <si>
    <t>No</t>
  </si>
  <si>
    <t>Desorden en el seguimiento</t>
  </si>
  <si>
    <t>Aún estoy definiendo la inversión</t>
  </si>
  <si>
    <t>Descartado</t>
  </si>
  <si>
    <t>Métricas Ejecutivas Luma Premium</t>
  </si>
  <si>
    <t>Total leads</t>
  </si>
  <si>
    <t>Leads nuevos</t>
  </si>
  <si>
    <t>Diagnósticos agendados</t>
  </si>
  <si>
    <t>Propuestas enviadas</t>
  </si>
  <si>
    <t>Ganados</t>
  </si>
  <si>
    <t>Perdidos</t>
  </si>
  <si>
    <t>Leads con inversión US$3,000+</t>
  </si>
  <si>
    <t>Promedio lead score</t>
  </si>
  <si>
    <t>Sí, y tenemos visibilidad de principio a fin</t>
  </si>
  <si>
    <t>US$1,500 - US$3,000</t>
  </si>
  <si>
    <t>Marcos Hilario</t>
  </si>
  <si>
    <t>Sí, pero no está integrado a la captación</t>
  </si>
  <si>
    <t>Equipo Luma</t>
  </si>
  <si>
    <t>Equipo Comercial Mayorista</t>
  </si>
  <si>
    <t>No, usamos Excel / WhatsApp para el seguimiento</t>
  </si>
  <si>
    <t>No, todo es orgánico/referidos</t>
  </si>
  <si>
    <t>Diagnóstico Agendado</t>
  </si>
  <si>
    <t/>
  </si>
  <si>
    <t>US$12,000+</t>
  </si>
  <si>
    <t>Diagnóstico Realizado</t>
  </si>
  <si>
    <t>Propuesta Enviada</t>
  </si>
  <si>
    <t>En Negociación</t>
  </si>
  <si>
    <t>Ganado</t>
  </si>
  <si>
    <t>Perdido</t>
  </si>
  <si>
    <t>Nutrición (Futuro)</t>
  </si>
  <si>
    <t>Luma Premium Sales Leads</t>
  </si>
  <si>
    <t>IMPORTANTE:</t>
  </si>
  <si>
    <t>- Esta hoja captura prospectos B2B interesados en comprar Luma Estate OS.</t>
  </si>
  <si>
    <t>- No pertenece al CRM inmobiliario operativo.</t>
  </si>
  <si>
    <t>- No debe mezclarse con compradores de propiedades, visitas, cierres ni comisiones.</t>
  </si>
  <si>
    <t>- La pestaña principal para la integración será exactamente: Luma Estate Leads</t>
  </si>
  <si>
    <t>- Antes de activar pauta, el formulario debe guardar datos reales aquí.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</si>
</sst>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0F172A"/>
      <sz val="14"/>
    </font>
    <font>
      <b/>
      <color rgb="FF334155"/>
    </font>
    <font>
      <b/>
      <color rgb="FF0F172A"/>
    </font>
    <font>
      <b/>
      <sz val="16"/>
    </font>
    <font>
      <b/>
      <color rgb="FFDC2626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5" customWidth="1"/>
    <col min="3" max="3" width="25" customWidth="1"/>
    <col min="4" max="4" width="30" customWidth="1"/>
    <col min="5" max="5" width="25" customWidth="1"/>
    <col min="6" max="6" width="20" customWidth="1"/>
    <col min="7" max="7" width="30" customWidth="1"/>
    <col min="8" max="9" width="25" customWidth="1"/>
    <col min="10" max="10" width="30" customWidth="1"/>
    <col min="11" max="12" width="25" customWidth="1"/>
    <col min="13" max="13" width="40" customWidth="1"/>
    <col min="14" max="14" width="25" customWidth="1"/>
    <col min="15" max="15" width="40" customWidth="1"/>
    <col min="16" max="16" width="25" customWidth="1"/>
    <col min="17" max="17" width="15" customWidth="1"/>
    <col min="18" max="18" width="12" customWidth="1"/>
    <col min="19" max="19" width="20" customWidth="1"/>
    <col min="20" max="20" width="30" customWidth="1"/>
    <col min="21" max="21" width="22" customWidth="1"/>
    <col min="22" max="22" width="20" customWidth="1"/>
    <col min="23" max="23" width="40" customWidth="1"/>
  </cols>
  <sheetData>
    <row r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19" x14ac:dyDescent="0.2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R2" s="3">
        <v>85</v>
      </c>
      <c r="S2" s="3" t="s">
        <v>37</v>
      </c>
    </row>
    <row r="3" spans="1:19" x14ac:dyDescent="0.25">
      <c r="A3" s="3" t="s">
        <v>38</v>
      </c>
      <c r="B3" s="3" t="s">
        <v>39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48</v>
      </c>
      <c r="L3" s="3" t="s">
        <v>49</v>
      </c>
      <c r="M3" s="3" t="s">
        <v>50</v>
      </c>
      <c r="N3" s="3" t="s">
        <v>51</v>
      </c>
      <c r="R3" s="3">
        <v>90</v>
      </c>
      <c r="S3" s="3" t="s">
        <v>52</v>
      </c>
    </row>
    <row r="4" spans="1:19" x14ac:dyDescent="0.25">
      <c r="A4" s="3" t="s">
        <v>53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  <c r="J4" s="3" t="s">
        <v>62</v>
      </c>
      <c r="K4" s="3" t="s">
        <v>63</v>
      </c>
      <c r="L4" s="3" t="s">
        <v>63</v>
      </c>
      <c r="M4" s="3" t="s">
        <v>64</v>
      </c>
      <c r="N4" s="3" t="s">
        <v>65</v>
      </c>
      <c r="R4" s="3">
        <v>30</v>
      </c>
      <c r="S4" s="3" t="s">
        <v>66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1" x14ac:dyDescent="0.25">
      <c r="A1" s="4" t="s">
        <v>67</v>
      </c>
    </row>
    <row r="3" spans="1:2" x14ac:dyDescent="0.25">
      <c r="A3" s="5" t="s">
        <v>68</v>
      </c>
      <c r="B3" s="6">
        <f>=COUNTA('Luma Estate Leads'!A:A)-1</f>
      </c>
    </row>
    <row r="4" spans="1:2" x14ac:dyDescent="0.25">
      <c r="A4" s="5" t="s">
        <v>69</v>
      </c>
      <c r="B4" s="6">
        <f>=COUNTIF('Luma Estate Leads'!S:S, "Nuevo")</f>
      </c>
    </row>
    <row r="5" spans="1:2" x14ac:dyDescent="0.25">
      <c r="A5" s="5" t="s">
        <v>70</v>
      </c>
      <c r="B5" s="6">
        <f>=COUNTIF('Luma Estate Leads'!S:S, "Diagnóstico Agendado")</f>
      </c>
    </row>
    <row r="6" spans="1:2" x14ac:dyDescent="0.25">
      <c r="A6" s="5" t="s">
        <v>71</v>
      </c>
      <c r="B6" s="6">
        <f>=COUNTIF('Luma Estate Leads'!S:S, "Propuesta Enviada")</f>
      </c>
    </row>
    <row r="7" spans="1:2" x14ac:dyDescent="0.25">
      <c r="A7" s="5" t="s">
        <v>72</v>
      </c>
      <c r="B7" s="6">
        <f>=COUNTIF('Luma Estate Leads'!S:S, "Ganado")</f>
      </c>
    </row>
    <row r="8" spans="1:2" x14ac:dyDescent="0.25">
      <c r="A8" s="5" t="s">
        <v>73</v>
      </c>
      <c r="B8" s="6">
        <f>=COUNTIF('Luma Estate Leads'!S:S, "Perdido")</f>
      </c>
    </row>
    <row r="9" spans="1:2" x14ac:dyDescent="0.25">
      <c r="A9" s="5" t="s">
        <v>74</v>
      </c>
      <c r="B9" s="6">
        <f>=COUNTIF('Luma Estate Leads'!N:N, "*US$3,000*") + COUNTIF('Luma Estate Leads'!N:N, "*US$6,500*") + COUNTIF('Luma Estate Leads'!N:N, "*US$12,000*")</f>
      </c>
    </row>
    <row r="10" spans="1:2" x14ac:dyDescent="0.25">
      <c r="A10" s="5" t="s">
        <v>75</v>
      </c>
      <c r="B10" s="6">
        <f>=AVERAGE('Luma Estate Leads'!R:R)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3" width="30" customWidth="1"/>
    <col min="4" max="4" width="35" customWidth="1"/>
    <col min="5" max="6" width="25" customWidth="1"/>
  </cols>
  <sheetData>
    <row r="1" spans="1:6" s="1" customFormat="1" x14ac:dyDescent="0.25">
      <c r="A1" s="1" t="s">
        <v>7</v>
      </c>
      <c r="B1" s="1" t="s">
        <v>10</v>
      </c>
      <c r="C1" s="1" t="s">
        <v>11</v>
      </c>
      <c r="D1" s="1" t="s">
        <v>13</v>
      </c>
      <c r="E1" s="1" t="s">
        <v>18</v>
      </c>
      <c r="F1" s="1" t="s">
        <v>21</v>
      </c>
    </row>
    <row r="2" spans="1:6" x14ac:dyDescent="0.25">
      <c r="A2" t="s">
        <v>30</v>
      </c>
      <c r="B2" t="s">
        <v>76</v>
      </c>
      <c r="C2" t="s">
        <v>34</v>
      </c>
      <c r="D2" t="s">
        <v>77</v>
      </c>
      <c r="E2" t="s">
        <v>37</v>
      </c>
      <c r="F2" t="s">
        <v>78</v>
      </c>
    </row>
    <row r="3" spans="1:6" x14ac:dyDescent="0.25">
      <c r="A3" t="s">
        <v>45</v>
      </c>
      <c r="B3" t="s">
        <v>79</v>
      </c>
      <c r="C3" t="s">
        <v>49</v>
      </c>
      <c r="D3" t="s">
        <v>36</v>
      </c>
      <c r="E3" t="s">
        <v>52</v>
      </c>
      <c r="F3" t="s">
        <v>80</v>
      </c>
    </row>
    <row r="4" spans="1:6" x14ac:dyDescent="0.25">
      <c r="A4" t="s">
        <v>81</v>
      </c>
      <c r="B4" t="s">
        <v>82</v>
      </c>
      <c r="C4" t="s">
        <v>83</v>
      </c>
      <c r="D4" t="s">
        <v>51</v>
      </c>
      <c r="E4" t="s">
        <v>84</v>
      </c>
      <c r="F4" t="s">
        <v>85</v>
      </c>
    </row>
    <row r="5" spans="1:6" x14ac:dyDescent="0.25">
      <c r="A5" t="s">
        <v>60</v>
      </c>
      <c r="B5" t="s">
        <v>85</v>
      </c>
      <c r="C5" t="s">
        <v>85</v>
      </c>
      <c r="D5" t="s">
        <v>86</v>
      </c>
      <c r="E5" t="s">
        <v>87</v>
      </c>
      <c r="F5" t="s">
        <v>85</v>
      </c>
    </row>
    <row r="6" spans="1:6" x14ac:dyDescent="0.25">
      <c r="A6" t="s">
        <v>85</v>
      </c>
      <c r="B6" t="s">
        <v>85</v>
      </c>
      <c r="C6" t="s">
        <v>85</v>
      </c>
      <c r="D6" t="s">
        <v>65</v>
      </c>
      <c r="E6" t="s">
        <v>88</v>
      </c>
      <c r="F6" t="s">
        <v>85</v>
      </c>
    </row>
    <row r="7" spans="1:6" x14ac:dyDescent="0.25">
      <c r="A7" t="s">
        <v>85</v>
      </c>
      <c r="B7" t="s">
        <v>85</v>
      </c>
      <c r="C7" t="s">
        <v>85</v>
      </c>
      <c r="D7" t="s">
        <v>85</v>
      </c>
      <c r="E7" t="s">
        <v>89</v>
      </c>
      <c r="F7" t="s">
        <v>85</v>
      </c>
    </row>
    <row r="8" spans="1:6" x14ac:dyDescent="0.25">
      <c r="A8" t="s">
        <v>85</v>
      </c>
      <c r="B8" t="s">
        <v>85</v>
      </c>
      <c r="C8" t="s">
        <v>85</v>
      </c>
      <c r="D8" t="s">
        <v>85</v>
      </c>
      <c r="E8" t="s">
        <v>90</v>
      </c>
      <c r="F8" t="s">
        <v>85</v>
      </c>
    </row>
    <row r="9" spans="1:6" x14ac:dyDescent="0.25">
      <c r="A9" t="s">
        <v>85</v>
      </c>
      <c r="B9" t="s">
        <v>85</v>
      </c>
      <c r="C9" t="s">
        <v>85</v>
      </c>
      <c r="D9" t="s">
        <v>85</v>
      </c>
      <c r="E9" t="s">
        <v>91</v>
      </c>
      <c r="F9" t="s">
        <v>85</v>
      </c>
    </row>
    <row r="10" spans="1:6" x14ac:dyDescent="0.25">
      <c r="A10" t="s">
        <v>85</v>
      </c>
      <c r="B10" t="s">
        <v>85</v>
      </c>
      <c r="C10" t="s">
        <v>85</v>
      </c>
      <c r="D10" t="s">
        <v>85</v>
      </c>
      <c r="E10" t="s">
        <v>66</v>
      </c>
      <c r="F10" t="s">
        <v>85</v>
      </c>
    </row>
    <row r="11" spans="1:6" x14ac:dyDescent="0.25">
      <c r="A11" t="s">
        <v>85</v>
      </c>
      <c r="B11" t="s">
        <v>85</v>
      </c>
      <c r="C11" t="s">
        <v>85</v>
      </c>
      <c r="D11" t="s">
        <v>85</v>
      </c>
      <c r="E11" t="s">
        <v>92</v>
      </c>
      <c r="F11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00" customWidth="1"/>
  </cols>
  <sheetData>
    <row r="1" spans="1:1" x14ac:dyDescent="0.25">
      <c r="A1" s="7" t="s">
        <v>93</v>
      </c>
    </row>
    <row r="2" spans="1:1" x14ac:dyDescent="0.25">
      <c r="A2" t="s">
        <v>85</v>
      </c>
    </row>
    <row r="3" spans="1:1" x14ac:dyDescent="0.25">
      <c r="A3" s="8" t="s">
        <v>94</v>
      </c>
    </row>
    <row r="4" spans="1:1" x14ac:dyDescent="0.25">
      <c r="A4" t="s">
        <v>95</v>
      </c>
    </row>
    <row r="5" spans="1:1" x14ac:dyDescent="0.25">
      <c r="A5" t="s">
        <v>96</v>
      </c>
    </row>
    <row r="6" spans="1:1" x14ac:dyDescent="0.25">
      <c r="A6" t="s">
        <v>97</v>
      </c>
    </row>
    <row r="7" spans="1:1" x14ac:dyDescent="0.25">
      <c r="A7" t="s">
        <v>98</v>
      </c>
    </row>
    <row r="8" spans="1:1" x14ac:dyDescent="0.25">
      <c r="A8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Luma Estate Leads</vt:lpstr>
      <vt:lpstr>Dashboard</vt:lpstr>
      <vt:lpstr>Catalogs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Luma Premium</dc:creator>
  <dc:title/>
  <dc:subject/>
  <dc:description/>
  <cp:keywords/>
  <cp:category/>
  <cp:lastModifiedBy>Luma Premium</cp:lastModifiedBy>
  <dcterms:created xsi:type="dcterms:W3CDTF">2026-04-28T17:42:11Z</dcterms:created>
  <dcterms:modified xsi:type="dcterms:W3CDTF">2026-04-28T17:42:11Z</dcterms:modified>
</cp:coreProperties>
</file>